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gent2\reports\comparison\"/>
    </mc:Choice>
  </mc:AlternateContent>
  <bookViews>
    <workbookView xWindow="0" yWindow="0" windowWidth="25600" windowHeight="104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38" i="1" l="1"/>
  <c r="H36" i="1"/>
  <c r="H35" i="1"/>
  <c r="G36" i="1"/>
  <c r="G35" i="1"/>
  <c r="F36" i="1"/>
  <c r="F35" i="1"/>
  <c r="E36" i="1"/>
  <c r="E35" i="1"/>
  <c r="I37" i="1" l="1"/>
  <c r="H37" i="1"/>
  <c r="J37" i="1" s="1"/>
  <c r="F37" i="1"/>
  <c r="E37" i="1"/>
  <c r="F38" i="1"/>
  <c r="I38" i="1"/>
  <c r="J38" i="1" s="1"/>
  <c r="I30" i="1"/>
  <c r="J30" i="1" s="1"/>
  <c r="J31" i="1" s="1"/>
  <c r="I29" i="1"/>
  <c r="H29" i="1"/>
  <c r="J29" i="1" s="1"/>
  <c r="E29" i="1"/>
  <c r="F30" i="1"/>
  <c r="G30" i="1" s="1"/>
  <c r="F29" i="1"/>
  <c r="G29" i="1" s="1"/>
  <c r="G31" i="1" s="1"/>
  <c r="G37" i="1" l="1"/>
  <c r="G39" i="1" s="1"/>
  <c r="J39" i="1"/>
</calcChain>
</file>

<file path=xl/sharedStrings.xml><?xml version="1.0" encoding="utf-8"?>
<sst xmlns="http://schemas.openxmlformats.org/spreadsheetml/2006/main" count="136" uniqueCount="134">
  <si>
    <t>query</t>
  </si>
  <si>
    <t>ground_truth</t>
  </si>
  <si>
    <t>naive_answer</t>
  </si>
  <si>
    <t>parser_answer</t>
  </si>
  <si>
    <t>naive_completeness</t>
  </si>
  <si>
    <t>naive_usefulness</t>
  </si>
  <si>
    <t>naive_clarity</t>
  </si>
  <si>
    <t>naive_relevance</t>
  </si>
  <si>
    <t>naive_additional_value</t>
  </si>
  <si>
    <t>naive_error_penalty</t>
  </si>
  <si>
    <t>naive_final</t>
  </si>
  <si>
    <t>parser_completeness</t>
  </si>
  <si>
    <t>parser_usefulness</t>
  </si>
  <si>
    <t>parser_clarity</t>
  </si>
  <si>
    <t>parser_relevance</t>
  </si>
  <si>
    <t>parser_additional_value</t>
  </si>
  <si>
    <t>parser_error_penalty</t>
  </si>
  <si>
    <t>parser_final</t>
  </si>
  <si>
    <t>delta_completeness</t>
  </si>
  <si>
    <t>delta_usefulness</t>
  </si>
  <si>
    <t>delta_clarity</t>
  </si>
  <si>
    <t>delta_relevance</t>
  </si>
  <si>
    <t>delta_additional_value</t>
  </si>
  <si>
    <t>delta_error_penalty</t>
  </si>
  <si>
    <t>delta_final</t>
  </si>
  <si>
    <t>winner(final)</t>
  </si>
  <si>
    <t>naive_completeness_summary_en</t>
  </si>
  <si>
    <t>naive_completeness_summary_ko</t>
  </si>
  <si>
    <t>naive_completeness_improve_en</t>
  </si>
  <si>
    <t>naive_completeness_improve_ko</t>
  </si>
  <si>
    <t>parser_completeness_summary_en</t>
  </si>
  <si>
    <t>parser_completeness_summary_ko</t>
  </si>
  <si>
    <t>parser_completeness_improve_en</t>
  </si>
  <si>
    <t>parser_completeness_improve_ko</t>
  </si>
  <si>
    <t>naive_usefulness_summary_en</t>
  </si>
  <si>
    <t>naive_usefulness_summary_ko</t>
  </si>
  <si>
    <t>naive_usefulness_improve_en</t>
  </si>
  <si>
    <t>naive_usefulness_improve_ko</t>
  </si>
  <si>
    <t>parser_usefulness_summary_en</t>
  </si>
  <si>
    <t>parser_usefulness_summary_ko</t>
  </si>
  <si>
    <t>parser_usefulness_improve_en</t>
  </si>
  <si>
    <t>parser_usefulness_improve_ko</t>
  </si>
  <si>
    <t>naive_clarity_summary_en</t>
  </si>
  <si>
    <t>naive_clarity_summary_ko</t>
  </si>
  <si>
    <t>naive_clarity_improve_en</t>
  </si>
  <si>
    <t>naive_clarity_improve_ko</t>
  </si>
  <si>
    <t>parser_clarity_summary_en</t>
  </si>
  <si>
    <t>parser_clarity_summary_ko</t>
  </si>
  <si>
    <t>parser_clarity_improve_en</t>
  </si>
  <si>
    <t>parser_clarity_improve_ko</t>
  </si>
  <si>
    <t>naive_relevance_summary_en</t>
  </si>
  <si>
    <t>naive_relevance_summary_ko</t>
  </si>
  <si>
    <t>naive_relevance_improve_en</t>
  </si>
  <si>
    <t>naive_relevance_improve_ko</t>
  </si>
  <si>
    <t>parser_relevance_summary_en</t>
  </si>
  <si>
    <t>parser_relevance_summary_ko</t>
  </si>
  <si>
    <t>parser_relevance_improve_en</t>
  </si>
  <si>
    <t>parser_relevance_improve_ko</t>
  </si>
  <si>
    <t>naive_additional_value_summary_en</t>
  </si>
  <si>
    <t>naive_additional_value_summary_ko</t>
  </si>
  <si>
    <t>naive_additional_value_improve_en</t>
  </si>
  <si>
    <t>naive_additional_value_improve_ko</t>
  </si>
  <si>
    <t>parser_additional_value_summary_en</t>
  </si>
  <si>
    <t>parser_additional_value_summary_ko</t>
  </si>
  <si>
    <t>parser_additional_value_improve_en</t>
  </si>
  <si>
    <t>parser_additional_value_improve_ko</t>
  </si>
  <si>
    <t>naive_error_penalty_summary_en</t>
  </si>
  <si>
    <t>naive_error_penalty_summary_ko</t>
  </si>
  <si>
    <t>naive_error_penalty_improve_en</t>
  </si>
  <si>
    <t>naive_error_penalty_improve_ko</t>
  </si>
  <si>
    <t>parser_error_penalty_summary_en</t>
  </si>
  <si>
    <t>parser_error_penalty_summary_ko</t>
  </si>
  <si>
    <t>parser_error_penalty_improve_en</t>
  </si>
  <si>
    <t>parser_error_penalty_improve_ko</t>
  </si>
  <si>
    <t>고장 예지 및 데이터 처리에 적용되는 기법은 무엇인가?</t>
  </si>
  <si>
    <t>SVM, DNN, Autoencoder, DT-CNN 이 있다.</t>
  </si>
  <si>
    <t>고장 예지 및 데이터 처리에 적용되는 기법은 SVM, DNN, ANN이 있다.</t>
  </si>
  <si>
    <t>고장 예지 및 데이터 처리에 적용되는 기법은 SVM, DNN, Autoencoder, DT-CNN이 있다.</t>
  </si>
  <si>
    <t>parser</t>
  </si>
  <si>
    <t>The answer covers half of the required techniques for fault prediction and data processing. It misses two key techniques: Autoencoder and DT-CNN.</t>
  </si>
  <si>
    <t>이 답변은 고장 예지 및 데이터 처리에 필요한 기법 중 절반을 포함하고 있습니다. Autoencoder와 DT-CNN이라는 두 가지 주요 기법이 누락되었습니다.</t>
  </si>
  <si>
    <t>To improve the completeness score, the answer should include all required techniques: Autoencoder and DT-CNN.</t>
  </si>
  <si>
    <t>완전성 점수를 높이기 위해 답변은 모든 필요한 기법인 Autoencoder와 DT-CNN을 포함해야 합니다.</t>
  </si>
  <si>
    <t>The answer fully covers all required techniques for fault prediction and data processing. It includes SVM, DNN, Autoencoder, and DT-CNN as specified in the ground truth.</t>
  </si>
  <si>
    <t>답변은 고장 예지 및 데이터 처리에 필요한 모든 기법을 완전히 포함하고 있습니다. SVM, DNN, Autoencoder, DT-CNN이 모두 포함되어 있습니다.</t>
  </si>
  <si>
    <t>No improvements are necessary as the answer is already complete.</t>
  </si>
  <si>
    <t>답변이 이미 완전하므로 개선이 필요하지 않습니다.</t>
  </si>
  <si>
    <t>The answer partially addresses the query but misses some key techniques listed in the ground truth. It includes SVM and DNN but omits Autoencoder and DT-CNN.</t>
  </si>
  <si>
    <t>답변은 질문에 부분적으로 답변하지만, 정답에 나열된 몇 가지 주요 기법을 놓치고 있습니다. SVM과 DNN은 포함되었지만, Autoencoder와 DT-CNN은 누락되었습니다.</t>
  </si>
  <si>
    <t>To improve the usefulness score, the answer should include all techniques from the ground truth, specifically Autoencoder and DT-CNN.</t>
  </si>
  <si>
    <t>유용성 점수를 높이기 위해 답변은 정답에 있는 모든 기법, 특히 Autoencoder와 DT-CNN을 포함해야 합니다.</t>
  </si>
  <si>
    <t>The answer provides some relevant techniques but lacks completeness in coverage of the ground truth. Only a portion of the required facts is mentioned.</t>
  </si>
  <si>
    <t>답변은 일부 관련 기법을 제공하지만, 정답의 완전성이 부족합니다. 필요한 사실의 일부만 언급되었습니다.</t>
  </si>
  <si>
    <t>To improve the usefulness score, ensure that all relevant techniques are explicitly mentioned and provide additional context or examples.</t>
  </si>
  <si>
    <t>유용성 점수를 높이기 위해 모든 관련 기법이 명시적으로 언급되도록 하고 추가적인 맥락이나 예시를 제공해야 합니다.</t>
  </si>
  <si>
    <t>The answer demonstrates moderate clarity but lacks some precision in terminology and completeness. Key techniques are missing from the response.</t>
  </si>
  <si>
    <t>To improve clarity, ensure all relevant techniques are included and use precise terminology consistently.</t>
  </si>
  <si>
    <t>명확성을 높이기 위해 모든 관련 기법을 포함하고 일관되게 정확한 용어를 사용해야 합니다.</t>
  </si>
  <si>
    <t>The answer is mostly clear but suffers from some readability and ambiguity issues. Terminology is mostly correct but could be more concise.</t>
  </si>
  <si>
    <t>To improve clarity, the answer should be structured more clearly, possibly by using bullet points or separating the techniques for better readability.</t>
  </si>
  <si>
    <t>명확성을 높이기 위해 답변을 더 명확하게 구조화하고, 기술을 나누거나 글머리 기호를 사용하여 가독성을 높일 수 있습니다.</t>
  </si>
  <si>
    <t>The answer is fully relevant as it includes most of the techniques mentioned in the ground truth. It accurately addresses the query.</t>
  </si>
  <si>
    <t>To improve relevance, the answer should include all techniques listed in the ground truth, specifically Autoencoder and DT-CNN.</t>
  </si>
  <si>
    <t>관련성을 높이기 위해 답변은 사실에 나열된 모든 기법, 특히 Autoencoder와 DT-CNN을 포함해야 합니다.</t>
  </si>
  <si>
    <t>The answer is fully relevant as it directly lists the techniques mentioned in the ground truth. It matches the query perfectly.</t>
  </si>
  <si>
    <t>답변은 지식의 진실과 일치하는 기법을 직접 나열하므로 완전히 관련성이 있습니다. 질문과 완벽하게 일치합니다.</t>
  </si>
  <si>
    <t>No improvements are necessary as the answer is already fully relevant.</t>
  </si>
  <si>
    <t>답변이 이미 완전히 관련성이 있으므로 개선이 필요하지 않습니다.</t>
  </si>
  <si>
    <t>The answer lacks coverage of all relevant techniques, only mentioning SVM, DNN, and ANN while omitting Autoencoder and DT-CNN. This limited scope significantly reduces its additional value.</t>
  </si>
  <si>
    <t>답변은 SVM, DNN, ANN만 언급하고 Autoencoder와 DT-CNN을 생략하여 모든 관련 기법을 포괄하지 못했습니다. 이 제한된 범위는 추가 가치를 크게 감소시킵니다.</t>
  </si>
  <si>
    <t>To improve the score, the answer should include all relevant techniques mentioned in the ground truth, specifically Autoencoder and DT-CNN.</t>
  </si>
  <si>
    <t>점수를 개선하려면 답변에 기초 사실에 언급된 모든 관련 기법, 특히 Autoencoder와 DT-CNN을 포함해야 합니다.</t>
  </si>
  <si>
    <t>The answer provides the correct techniques but lacks additional insights or examples. The score reflects minimal additional value beyond the ground truth.</t>
  </si>
  <si>
    <t>답변은 올바른 기법을 제공하지만 추가적인 통찰이나 예시가 부족합니다. 점수는 진리 기반 이상의 추가 가치가 최소한임을 반영합니다.</t>
  </si>
  <si>
    <t>To improve the score, the answer should include examples of how these techniques are applied in practice or discuss their advantages and disadvantages.</t>
  </si>
  <si>
    <t>점수를 개선하기 위해 답변은 이러한 기법들이 실제로 어떻게 적용되는지에 대한 예시를 포함하거나 장단점에 대해 논의해야 합니다.</t>
  </si>
  <si>
    <t>The answer partially covers the required techniques for fault prediction and data processing, missing one key technique. This results in a moderate error penalty score.</t>
  </si>
  <si>
    <t>답변은 고장 예지 및 데이터 처리에 필요한 기법을 부분적으로 다루고 있으며, 하나의 주요 기법이 누락되었습니다. 이로 인해 중간 정도의 오류 패널티 점수가 부여되었습니다.</t>
  </si>
  <si>
    <t>To improve the score, the answer should include all techniques mentioned in the ground truth, specifically Autoencoder and DT-CNN.</t>
  </si>
  <si>
    <t>점수를 개선하기 위해 답변은 사실 기준에 언급된 모든 기법, 특히 Autoencoder와 DT-CNN을 포함해야 합니다.</t>
  </si>
  <si>
    <t>The answer correctly lists the techniques for fault prediction and data processing, but it lacks coverage of all required facts. This results in a moderate error penalty score.</t>
  </si>
  <si>
    <t>답변은 고장 예지 및 데이터 처리 기법을 올바르게 나열했지만, 모든 필수 사실을 포함하지 않아 중간 정도의 오류 패널티 점수를 받았습니다.</t>
  </si>
  <si>
    <t>To improve the metric, ensure that all relevant facts are explicitly mentioned in the answer.</t>
  </si>
  <si>
    <t>이 지표를 개선하기 위해서는 답변에 모든 관련 사실이 명시적으로 언급되도록 해야 합니다.</t>
  </si>
  <si>
    <t>답변은 중간 정도의 명확성을 보여주지만 용어의 정확성과 완전성이 부족합니다. 주요 기법들이 누락되었습니다.</t>
    <phoneticPr fontId="2" type="noConversion"/>
  </si>
  <si>
    <t>답변은 대체로 명확하지만 가독성과 모호성 문제로 어려움이 있습니다. 용어는 대체로 정확하지만 더 간결할 수 있습니다.</t>
    <phoneticPr fontId="2" type="noConversion"/>
  </si>
  <si>
    <t>답변은 사실에서 언급된 대부분의 기법을 포함하고 있어 완전히 관련성이 있습니다. 질문에 정확하게 답변하고 있습니다.</t>
    <phoneticPr fontId="2" type="noConversion"/>
  </si>
  <si>
    <t>"formula": f"final = ((avg(C,U,Cl,R)*(1-{w:.2f}) + AV*{w:.2f}) * ((1-{softness:.2f}) + {softness:.2f}*EP))"</t>
    <phoneticPr fontId="2" type="noConversion"/>
  </si>
  <si>
    <t>weight_additional_value: float = 0.15</t>
    <phoneticPr fontId="2" type="noConversion"/>
  </si>
  <si>
    <t>penalty_softness: float = 0.2</t>
    <phoneticPr fontId="2" type="noConversion"/>
  </si>
  <si>
    <t># error_penalty가 0일 때 0.8배, 1일 때 1.0배</t>
    <phoneticPr fontId="2" type="noConversion"/>
  </si>
  <si>
    <t>"formula": "final = ((avg(C,U,Cl,R)*(1-w) + AV*w) * (0.8 + 0.2*EP))"</t>
    <phoneticPr fontId="2" type="noConversion"/>
  </si>
  <si>
    <t>weight_additional_value: float = 0.05</t>
    <phoneticPr fontId="2" type="noConversion"/>
  </si>
  <si>
    <t>"formula": "final = ((avg(C*1.7,U*0.3,Cl+0.3,R+1.7)*(1-w) + AV*w) * (1.0 - 0.2*EP))"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</si>
</sst>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zoomScale="70" zoomScaleNormal="70" workbookViewId="0">
      <selection activeCell="H13" sqref="H13"/>
    </sheetView>
  </sheetViews>
  <sheetFormatPr defaultRowHeight="17" x14ac:dyDescent="0.45"/>
  <cols>
    <col min="5" max="5" width="33.25" customWidth="1"/>
    <col min="6" max="7" width="34" customWidth="1"/>
    <col min="8" max="8" width="30.58203125" customWidth="1"/>
    <col min="9" max="9" width="34.9140625" customWidth="1"/>
    <col min="10" max="10" width="33.08203125" customWidth="1"/>
    <col min="11" max="11" width="14.3320312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74</v>
      </c>
      <c r="B2" t="s">
        <v>75</v>
      </c>
      <c r="C2" t="s">
        <v>76</v>
      </c>
      <c r="D2" t="s">
        <v>77</v>
      </c>
      <c r="E2">
        <v>0.5</v>
      </c>
      <c r="F2">
        <v>0.25</v>
      </c>
      <c r="G2">
        <v>0.56999999999999995</v>
      </c>
      <c r="H2">
        <v>1</v>
      </c>
      <c r="I2">
        <v>6.2E-2</v>
      </c>
      <c r="J2">
        <v>0.6</v>
      </c>
      <c r="K2">
        <v>0.46200000000000002</v>
      </c>
    </row>
    <row r="3" spans="1:11" x14ac:dyDescent="0.45">
      <c r="E3" s="1" t="s">
        <v>26</v>
      </c>
      <c r="F3" s="1" t="s">
        <v>34</v>
      </c>
      <c r="G3" s="1" t="s">
        <v>42</v>
      </c>
      <c r="H3" s="1" t="s">
        <v>50</v>
      </c>
      <c r="I3" s="1" t="s">
        <v>58</v>
      </c>
      <c r="J3" s="1" t="s">
        <v>66</v>
      </c>
    </row>
    <row r="4" spans="1:11" x14ac:dyDescent="0.45">
      <c r="E4" t="s">
        <v>79</v>
      </c>
      <c r="F4" t="s">
        <v>87</v>
      </c>
      <c r="G4" t="s">
        <v>95</v>
      </c>
      <c r="H4" t="s">
        <v>101</v>
      </c>
      <c r="I4" t="s">
        <v>108</v>
      </c>
      <c r="J4" t="s">
        <v>116</v>
      </c>
    </row>
    <row r="5" spans="1:11" x14ac:dyDescent="0.45">
      <c r="E5" s="1" t="s">
        <v>27</v>
      </c>
      <c r="F5" s="1" t="s">
        <v>35</v>
      </c>
      <c r="G5" s="1" t="s">
        <v>43</v>
      </c>
      <c r="H5" s="1" t="s">
        <v>51</v>
      </c>
      <c r="I5" s="1" t="s">
        <v>59</v>
      </c>
      <c r="J5" s="1" t="s">
        <v>67</v>
      </c>
    </row>
    <row r="6" spans="1:11" x14ac:dyDescent="0.45">
      <c r="E6" t="s">
        <v>80</v>
      </c>
      <c r="F6" t="s">
        <v>88</v>
      </c>
      <c r="G6" t="s">
        <v>124</v>
      </c>
      <c r="H6" t="s">
        <v>126</v>
      </c>
      <c r="I6" t="s">
        <v>109</v>
      </c>
      <c r="J6" t="s">
        <v>117</v>
      </c>
    </row>
    <row r="7" spans="1:11" x14ac:dyDescent="0.45">
      <c r="E7" s="1" t="s">
        <v>28</v>
      </c>
      <c r="F7" s="1" t="s">
        <v>36</v>
      </c>
      <c r="G7" s="1" t="s">
        <v>44</v>
      </c>
      <c r="H7" s="1" t="s">
        <v>52</v>
      </c>
      <c r="I7" s="1" t="s">
        <v>60</v>
      </c>
      <c r="J7" s="1" t="s">
        <v>68</v>
      </c>
    </row>
    <row r="8" spans="1:11" x14ac:dyDescent="0.45">
      <c r="E8" t="s">
        <v>81</v>
      </c>
      <c r="F8" t="s">
        <v>89</v>
      </c>
      <c r="G8" t="s">
        <v>96</v>
      </c>
      <c r="H8" t="s">
        <v>102</v>
      </c>
      <c r="I8" t="s">
        <v>110</v>
      </c>
      <c r="J8" t="s">
        <v>118</v>
      </c>
    </row>
    <row r="9" spans="1:11" x14ac:dyDescent="0.45">
      <c r="E9" s="1" t="s">
        <v>29</v>
      </c>
      <c r="F9" s="1" t="s">
        <v>37</v>
      </c>
      <c r="G9" s="1" t="s">
        <v>45</v>
      </c>
      <c r="H9" s="1" t="s">
        <v>53</v>
      </c>
      <c r="I9" s="1" t="s">
        <v>61</v>
      </c>
      <c r="J9" s="1" t="s">
        <v>69</v>
      </c>
    </row>
    <row r="10" spans="1:11" x14ac:dyDescent="0.45">
      <c r="E10" t="s">
        <v>82</v>
      </c>
      <c r="F10" t="s">
        <v>90</v>
      </c>
      <c r="G10" t="s">
        <v>97</v>
      </c>
      <c r="H10" t="s">
        <v>103</v>
      </c>
      <c r="I10" t="s">
        <v>111</v>
      </c>
      <c r="J10" t="s">
        <v>119</v>
      </c>
    </row>
    <row r="12" spans="1:11" x14ac:dyDescent="0.45"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17</v>
      </c>
    </row>
    <row r="13" spans="1:11" x14ac:dyDescent="0.45">
      <c r="E13">
        <v>1</v>
      </c>
      <c r="F13">
        <v>0.25</v>
      </c>
      <c r="G13">
        <v>0.56999999999999995</v>
      </c>
      <c r="H13">
        <v>1</v>
      </c>
      <c r="I13">
        <v>0.125</v>
      </c>
      <c r="J13">
        <v>0.4</v>
      </c>
      <c r="K13">
        <v>0.54400000000000004</v>
      </c>
    </row>
    <row r="14" spans="1:11" x14ac:dyDescent="0.45">
      <c r="E14" s="1" t="s">
        <v>30</v>
      </c>
      <c r="F14" s="1" t="s">
        <v>38</v>
      </c>
      <c r="G14" s="1" t="s">
        <v>46</v>
      </c>
      <c r="H14" s="1" t="s">
        <v>54</v>
      </c>
      <c r="I14" s="1" t="s">
        <v>62</v>
      </c>
      <c r="J14" s="1" t="s">
        <v>70</v>
      </c>
    </row>
    <row r="15" spans="1:11" x14ac:dyDescent="0.45">
      <c r="E15" t="s">
        <v>83</v>
      </c>
      <c r="F15" t="s">
        <v>91</v>
      </c>
      <c r="G15" t="s">
        <v>98</v>
      </c>
      <c r="H15" t="s">
        <v>104</v>
      </c>
      <c r="I15" t="s">
        <v>112</v>
      </c>
      <c r="J15" t="s">
        <v>120</v>
      </c>
    </row>
    <row r="16" spans="1:11" x14ac:dyDescent="0.45">
      <c r="E16" s="1" t="s">
        <v>31</v>
      </c>
      <c r="F16" s="1" t="s">
        <v>39</v>
      </c>
      <c r="G16" s="1" t="s">
        <v>47</v>
      </c>
      <c r="H16" s="1" t="s">
        <v>55</v>
      </c>
      <c r="I16" s="1" t="s">
        <v>63</v>
      </c>
      <c r="J16" s="1" t="s">
        <v>71</v>
      </c>
    </row>
    <row r="17" spans="1:11" x14ac:dyDescent="0.45">
      <c r="E17" t="s">
        <v>84</v>
      </c>
      <c r="F17" t="s">
        <v>92</v>
      </c>
      <c r="G17" t="s">
        <v>125</v>
      </c>
      <c r="H17" t="s">
        <v>105</v>
      </c>
      <c r="I17" t="s">
        <v>113</v>
      </c>
      <c r="J17" t="s">
        <v>121</v>
      </c>
    </row>
    <row r="18" spans="1:11" x14ac:dyDescent="0.45">
      <c r="E18" s="1" t="s">
        <v>32</v>
      </c>
      <c r="F18" s="1" t="s">
        <v>40</v>
      </c>
      <c r="G18" s="1" t="s">
        <v>48</v>
      </c>
      <c r="H18" s="1" t="s">
        <v>56</v>
      </c>
      <c r="I18" s="1" t="s">
        <v>64</v>
      </c>
      <c r="J18" s="1" t="s">
        <v>72</v>
      </c>
    </row>
    <row r="19" spans="1:11" x14ac:dyDescent="0.45">
      <c r="E19" t="s">
        <v>85</v>
      </c>
      <c r="F19" t="s">
        <v>93</v>
      </c>
      <c r="G19" t="s">
        <v>99</v>
      </c>
      <c r="H19" t="s">
        <v>106</v>
      </c>
      <c r="I19" t="s">
        <v>114</v>
      </c>
      <c r="J19" t="s">
        <v>122</v>
      </c>
    </row>
    <row r="20" spans="1:11" x14ac:dyDescent="0.45">
      <c r="E20" s="1" t="s">
        <v>33</v>
      </c>
      <c r="F20" s="1" t="s">
        <v>41</v>
      </c>
      <c r="G20" s="1" t="s">
        <v>49</v>
      </c>
      <c r="H20" s="1" t="s">
        <v>57</v>
      </c>
      <c r="I20" s="1" t="s">
        <v>65</v>
      </c>
      <c r="J20" s="1" t="s">
        <v>73</v>
      </c>
    </row>
    <row r="21" spans="1:11" x14ac:dyDescent="0.45">
      <c r="E21" t="s">
        <v>86</v>
      </c>
      <c r="F21" t="s">
        <v>94</v>
      </c>
      <c r="G21" t="s">
        <v>100</v>
      </c>
      <c r="H21" t="s">
        <v>107</v>
      </c>
      <c r="I21" t="s">
        <v>115</v>
      </c>
      <c r="J21" t="s">
        <v>123</v>
      </c>
    </row>
    <row r="23" spans="1:11" x14ac:dyDescent="0.45">
      <c r="E23" s="1" t="s">
        <v>18</v>
      </c>
      <c r="F23" s="1" t="s">
        <v>19</v>
      </c>
      <c r="G23" s="1" t="s">
        <v>20</v>
      </c>
      <c r="H23" s="1" t="s">
        <v>21</v>
      </c>
      <c r="I23" s="1" t="s">
        <v>22</v>
      </c>
      <c r="J23" s="1" t="s">
        <v>23</v>
      </c>
      <c r="K23" s="1" t="s">
        <v>24</v>
      </c>
    </row>
    <row r="24" spans="1:11" x14ac:dyDescent="0.45">
      <c r="E24">
        <v>0.5</v>
      </c>
      <c r="F24">
        <v>0</v>
      </c>
      <c r="G24">
        <v>0</v>
      </c>
      <c r="H24">
        <v>0</v>
      </c>
      <c r="I24">
        <v>6.3E-2</v>
      </c>
      <c r="J24">
        <v>-0.2</v>
      </c>
      <c r="K24">
        <v>8.2000000000000003E-2</v>
      </c>
    </row>
    <row r="26" spans="1:11" x14ac:dyDescent="0.45">
      <c r="A26" t="s">
        <v>128</v>
      </c>
      <c r="E26" t="s">
        <v>127</v>
      </c>
      <c r="K26" s="1" t="s">
        <v>25</v>
      </c>
    </row>
    <row r="27" spans="1:11" x14ac:dyDescent="0.45">
      <c r="A27" t="s">
        <v>129</v>
      </c>
      <c r="E27" t="s">
        <v>131</v>
      </c>
      <c r="K27" t="s">
        <v>78</v>
      </c>
    </row>
    <row r="28" spans="1:11" x14ac:dyDescent="0.45">
      <c r="A28" t="s">
        <v>130</v>
      </c>
    </row>
    <row r="29" spans="1:11" x14ac:dyDescent="0.45">
      <c r="E29">
        <f>AVERAGE(E2:H2)*0.85</f>
        <v>0.49299999999999994</v>
      </c>
      <c r="F29">
        <f>I2*0.15</f>
        <v>9.2999999999999992E-3</v>
      </c>
      <c r="G29">
        <f>E29+F29</f>
        <v>0.50229999999999997</v>
      </c>
      <c r="H29">
        <f>AVERAGE(E13:H13)*0.85</f>
        <v>0.59924999999999995</v>
      </c>
      <c r="I29">
        <f>I13*0.15</f>
        <v>1.8749999999999999E-2</v>
      </c>
      <c r="J29">
        <f>H29+I29</f>
        <v>0.61799999999999999</v>
      </c>
    </row>
    <row r="30" spans="1:11" x14ac:dyDescent="0.45">
      <c r="E30">
        <v>0.8</v>
      </c>
      <c r="F30">
        <f>0.2*J2</f>
        <v>0.12</v>
      </c>
      <c r="G30">
        <f>E30+F30</f>
        <v>0.92</v>
      </c>
      <c r="H30">
        <v>0.8</v>
      </c>
      <c r="I30">
        <f>0.2*J13</f>
        <v>8.0000000000000016E-2</v>
      </c>
      <c r="J30">
        <f>H30+I30</f>
        <v>0.88000000000000012</v>
      </c>
    </row>
    <row r="31" spans="1:11" x14ac:dyDescent="0.45">
      <c r="G31">
        <f>G29*G30</f>
        <v>0.46211599999999997</v>
      </c>
      <c r="J31">
        <f>J29*J30</f>
        <v>0.5438400000000001</v>
      </c>
    </row>
    <row r="34" spans="1:10" x14ac:dyDescent="0.45">
      <c r="A34" t="s">
        <v>132</v>
      </c>
      <c r="E34" t="s">
        <v>133</v>
      </c>
    </row>
    <row r="35" spans="1:10" x14ac:dyDescent="0.45">
      <c r="A35" t="s">
        <v>129</v>
      </c>
      <c r="E35">
        <f>E2*1.7</f>
        <v>0.85</v>
      </c>
      <c r="F35">
        <f>F2*0.3</f>
        <v>7.4999999999999997E-2</v>
      </c>
      <c r="G35">
        <f>G2*0.3</f>
        <v>0.17099999999999999</v>
      </c>
      <c r="H35">
        <f>H2*1.7</f>
        <v>1.7</v>
      </c>
    </row>
    <row r="36" spans="1:10" x14ac:dyDescent="0.45">
      <c r="A36" t="s">
        <v>130</v>
      </c>
      <c r="E36">
        <f>E13*1.7</f>
        <v>1.7</v>
      </c>
      <c r="F36">
        <f>F13*0.3</f>
        <v>7.4999999999999997E-2</v>
      </c>
      <c r="G36">
        <f>G13*0.3</f>
        <v>0.17099999999999999</v>
      </c>
      <c r="H36">
        <f>H13*1.7</f>
        <v>1.7</v>
      </c>
    </row>
    <row r="37" spans="1:10" x14ac:dyDescent="0.45">
      <c r="E37">
        <f>AVERAGE(E35:H35)*0.95</f>
        <v>0.66404999999999992</v>
      </c>
      <c r="F37">
        <f>I2*0.05</f>
        <v>3.1000000000000003E-3</v>
      </c>
      <c r="G37">
        <f>E37+F37</f>
        <v>0.66714999999999991</v>
      </c>
      <c r="H37">
        <f>AVERAGE(E36:H36)*0.95</f>
        <v>0.86592499999999994</v>
      </c>
      <c r="I37">
        <f>I13*0.05</f>
        <v>6.2500000000000003E-3</v>
      </c>
      <c r="J37">
        <f>H37+I37</f>
        <v>0.87217499999999992</v>
      </c>
    </row>
    <row r="38" spans="1:10" x14ac:dyDescent="0.45">
      <c r="E38">
        <v>1</v>
      </c>
      <c r="F38">
        <f>0.2*J2</f>
        <v>0.12</v>
      </c>
      <c r="G38">
        <f>E38-F38</f>
        <v>0.88</v>
      </c>
      <c r="H38">
        <v>1</v>
      </c>
      <c r="I38">
        <f>0.2*J13</f>
        <v>8.0000000000000016E-2</v>
      </c>
      <c r="J38">
        <f>H38-I38</f>
        <v>0.91999999999999993</v>
      </c>
    </row>
    <row r="39" spans="1:10" x14ac:dyDescent="0.45">
      <c r="G39">
        <f>G37*G38</f>
        <v>0.58709199999999995</v>
      </c>
      <c r="J39">
        <f>J37*J38</f>
        <v>0.80240099999999992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KIWON PARK</cp:lastModifiedBy>
  <dcterms:created xsi:type="dcterms:W3CDTF">2025-11-09T06:15:26Z</dcterms:created>
  <dcterms:modified xsi:type="dcterms:W3CDTF">2025-11-09T11:09:28Z</dcterms:modified>
</cp:coreProperties>
</file>